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robin.kerr\local\gitlab\laundromatic\"/>
    </mc:Choice>
  </mc:AlternateContent>
  <xr:revisionPtr revIDLastSave="0" documentId="13_ncr:9_{46A6BCBF-9F26-4FCB-A9A0-40310C9998D7}" xr6:coauthVersionLast="47" xr6:coauthVersionMax="47" xr10:uidLastSave="{00000000-0000-0000-0000-000000000000}"/>
  <bookViews>
    <workbookView xWindow="0" yWindow="40" windowWidth="19200" windowHeight="11240" xr2:uid="{B02CCDAD-040F-42FD-835A-C23D26E7570E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2" i="1" l="1"/>
  <c r="J2" i="1"/>
  <c r="L2" i="1" s="1"/>
  <c r="C3" i="1"/>
  <c r="C4" i="1"/>
  <c r="C5" i="1"/>
  <c r="C6" i="1"/>
  <c r="C7" i="1"/>
  <c r="H2" i="1" s="1"/>
  <c r="C8" i="1"/>
  <c r="C9" i="1"/>
  <c r="C10" i="1"/>
  <c r="C11" i="1"/>
  <c r="C12" i="1"/>
  <c r="C13" i="1"/>
  <c r="C14" i="1"/>
  <c r="C15" i="1"/>
  <c r="C16" i="1"/>
  <c r="C17" i="1"/>
  <c r="C2" i="1"/>
  <c r="E2" i="1"/>
  <c r="D2" i="1"/>
  <c r="G17" i="1" l="1"/>
  <c r="G5" i="1"/>
  <c r="G18" i="1"/>
  <c r="G11" i="1"/>
  <c r="G12" i="1"/>
  <c r="G10" i="1"/>
  <c r="G6" i="1"/>
  <c r="G7" i="1"/>
  <c r="G20" i="1"/>
  <c r="G8" i="1"/>
  <c r="G9" i="1"/>
  <c r="G13" i="1"/>
  <c r="G19" i="1"/>
  <c r="G14" i="1"/>
  <c r="G15" i="1"/>
  <c r="G16" i="1"/>
  <c r="G3" i="1"/>
  <c r="G4" i="1"/>
  <c r="F2" i="1"/>
</calcChain>
</file>

<file path=xl/sharedStrings.xml><?xml version="1.0" encoding="utf-8"?>
<sst xmlns="http://purl.oclc.org/ooxml/spreadsheetml/main" count="12" uniqueCount="12">
  <si>
    <t>T</t>
  </si>
  <si>
    <t>RH</t>
  </si>
  <si>
    <t>T_0</t>
  </si>
  <si>
    <t>RH_0</t>
  </si>
  <si>
    <t>t_0</t>
  </si>
  <si>
    <t>vp_sat</t>
  </si>
  <si>
    <t>VPD_0</t>
  </si>
  <si>
    <t>t at T=20</t>
  </si>
  <si>
    <t>t_test</t>
  </si>
  <si>
    <t>T_test</t>
  </si>
  <si>
    <t>RH_test</t>
  </si>
  <si>
    <t>vp_sat_test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</si>
</sst>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94F4-584E-44A8-899B-A3990CB38587}">
  <dimension ref="A1:L20"/>
  <sheetViews>
    <sheetView tabSelected="1" workbookViewId="0">
      <selection activeCell="I3" sqref="I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7</v>
      </c>
      <c r="H1" t="s">
        <v>6</v>
      </c>
      <c r="I1" t="s">
        <v>9</v>
      </c>
      <c r="J1" t="s">
        <v>11</v>
      </c>
      <c r="K1" t="s">
        <v>10</v>
      </c>
      <c r="L1" t="s">
        <v>8</v>
      </c>
    </row>
    <row r="2" spans="1:12" x14ac:dyDescent="0.35">
      <c r="A2">
        <v>15</v>
      </c>
      <c r="B2">
        <v>5</v>
      </c>
      <c r="C2">
        <f>0.61121*EXP((18.678-A2/234.5)*(A2/(257.14+A2)))</f>
        <v>1.7051728361052074</v>
      </c>
      <c r="D2">
        <f>A7</f>
        <v>20</v>
      </c>
      <c r="E2">
        <f>B15</f>
        <v>70</v>
      </c>
      <c r="F2">
        <f>2*0.7/(C7*(1-B15/100))</f>
        <v>1.9957177782847431</v>
      </c>
      <c r="G2">
        <f>2*$H$2/($C$7*(1-B2/100))</f>
        <v>0.63157894736842113</v>
      </c>
      <c r="H2">
        <f>C7*(1-(B15/100))</f>
        <v>0.70150199353500575</v>
      </c>
      <c r="I2">
        <v>13.5</v>
      </c>
      <c r="J2">
        <f>0.61121*EXP((18.678-I2/234.5)*(I2/(257.14+I2)))</f>
        <v>1.547290300809133</v>
      </c>
      <c r="K2">
        <v>63</v>
      </c>
      <c r="L2">
        <f>2*$H$2/(J2*(1-K2/100))</f>
        <v>2.450673067474066</v>
      </c>
    </row>
    <row r="3" spans="1:12" x14ac:dyDescent="0.35">
      <c r="A3">
        <v>16</v>
      </c>
      <c r="B3">
        <v>10</v>
      </c>
      <c r="C3">
        <f t="shared" ref="C3:C17" si="0">0.61121*EXP((18.678-A3/234.5)*(A3/(257.14+A3)))</f>
        <v>1.8181304664969562</v>
      </c>
      <c r="G3">
        <f t="shared" ref="G3:G20" si="1">2*$H$2/($C$7*(1-B3/100))</f>
        <v>0.66666666666666685</v>
      </c>
    </row>
    <row r="4" spans="1:12" x14ac:dyDescent="0.35">
      <c r="A4">
        <v>17</v>
      </c>
      <c r="B4">
        <v>15</v>
      </c>
      <c r="C4">
        <f t="shared" si="0"/>
        <v>1.9376036436744033</v>
      </c>
      <c r="G4">
        <f t="shared" si="1"/>
        <v>0.70588235294117663</v>
      </c>
    </row>
    <row r="5" spans="1:12" x14ac:dyDescent="0.35">
      <c r="A5">
        <v>18</v>
      </c>
      <c r="B5">
        <v>20</v>
      </c>
      <c r="C5">
        <f t="shared" si="0"/>
        <v>2.0639086119670109</v>
      </c>
      <c r="G5">
        <f t="shared" si="1"/>
        <v>0.75000000000000011</v>
      </c>
    </row>
    <row r="6" spans="1:12" x14ac:dyDescent="0.35">
      <c r="A6">
        <v>19</v>
      </c>
      <c r="B6">
        <v>25</v>
      </c>
      <c r="C6">
        <f t="shared" si="0"/>
        <v>2.1973737673449842</v>
      </c>
      <c r="G6">
        <f t="shared" si="1"/>
        <v>0.80000000000000016</v>
      </c>
    </row>
    <row r="7" spans="1:12" x14ac:dyDescent="0.35">
      <c r="A7">
        <v>20</v>
      </c>
      <c r="B7">
        <v>30</v>
      </c>
      <c r="C7">
        <f t="shared" si="0"/>
        <v>2.3383399784500187</v>
      </c>
      <c r="G7">
        <f t="shared" si="1"/>
        <v>0.85714285714285743</v>
      </c>
    </row>
    <row r="8" spans="1:12" x14ac:dyDescent="0.35">
      <c r="A8">
        <v>21</v>
      </c>
      <c r="B8">
        <v>35</v>
      </c>
      <c r="C8">
        <f t="shared" si="0"/>
        <v>2.4871609105868391</v>
      </c>
      <c r="G8">
        <f t="shared" si="1"/>
        <v>0.92307692307692324</v>
      </c>
    </row>
    <row r="9" spans="1:12" x14ac:dyDescent="0.35">
      <c r="A9">
        <v>22</v>
      </c>
      <c r="B9">
        <v>40</v>
      </c>
      <c r="C9">
        <f t="shared" si="0"/>
        <v>2.6442033525213895</v>
      </c>
      <c r="G9">
        <f t="shared" si="1"/>
        <v>1.0000000000000002</v>
      </c>
    </row>
    <row r="10" spans="1:12" x14ac:dyDescent="0.35">
      <c r="A10">
        <v>23</v>
      </c>
      <c r="B10">
        <v>45</v>
      </c>
      <c r="C10">
        <f t="shared" si="0"/>
        <v>2.8098475459267696</v>
      </c>
      <c r="G10">
        <f t="shared" si="1"/>
        <v>1.0909090909090911</v>
      </c>
    </row>
    <row r="11" spans="1:12" x14ac:dyDescent="0.35">
      <c r="A11">
        <v>24</v>
      </c>
      <c r="B11">
        <v>50</v>
      </c>
      <c r="C11">
        <f t="shared" si="0"/>
        <v>2.9844875173134047</v>
      </c>
      <c r="G11">
        <f>2*$H$2/($C$7*(1-B11/100))</f>
        <v>1.2000000000000002</v>
      </c>
    </row>
    <row r="12" spans="1:12" x14ac:dyDescent="0.35">
      <c r="A12">
        <v>25</v>
      </c>
      <c r="B12">
        <v>55</v>
      </c>
      <c r="C12">
        <f t="shared" si="0"/>
        <v>3.1685314122754349</v>
      </c>
      <c r="G12">
        <f t="shared" si="1"/>
        <v>1.3333333333333337</v>
      </c>
    </row>
    <row r="13" spans="1:12" x14ac:dyDescent="0.35">
      <c r="A13">
        <v>26</v>
      </c>
      <c r="B13">
        <v>60</v>
      </c>
      <c r="C13">
        <f t="shared" si="0"/>
        <v>3.362401831880931</v>
      </c>
      <c r="G13">
        <f t="shared" si="1"/>
        <v>1.5000000000000002</v>
      </c>
    </row>
    <row r="14" spans="1:12" x14ac:dyDescent="0.35">
      <c r="A14">
        <v>27</v>
      </c>
      <c r="B14">
        <v>65</v>
      </c>
      <c r="C14">
        <f t="shared" si="0"/>
        <v>3.5665361710294072</v>
      </c>
      <c r="G14">
        <f t="shared" si="1"/>
        <v>1.7142857142857149</v>
      </c>
    </row>
    <row r="15" spans="1:12" x14ac:dyDescent="0.35">
      <c r="A15">
        <v>28</v>
      </c>
      <c r="B15">
        <v>70</v>
      </c>
      <c r="C15">
        <f t="shared" si="0"/>
        <v>3.7813869585959381</v>
      </c>
      <c r="G15">
        <f t="shared" si="1"/>
        <v>2</v>
      </c>
    </row>
    <row r="16" spans="1:12" x14ac:dyDescent="0.35">
      <c r="A16">
        <v>29</v>
      </c>
      <c r="B16">
        <v>75</v>
      </c>
      <c r="C16">
        <f t="shared" si="0"/>
        <v>4.0074221991773662</v>
      </c>
      <c r="G16">
        <f t="shared" si="1"/>
        <v>2.4000000000000004</v>
      </c>
    </row>
    <row r="17" spans="1:7" x14ac:dyDescent="0.35">
      <c r="A17">
        <v>30</v>
      </c>
      <c r="B17">
        <v>80</v>
      </c>
      <c r="C17">
        <f t="shared" si="0"/>
        <v>4.2451257162522902</v>
      </c>
      <c r="G17">
        <f>2*$H$2/($C$7*(1-B17/100))</f>
        <v>3.0000000000000009</v>
      </c>
    </row>
    <row r="18" spans="1:7" x14ac:dyDescent="0.35">
      <c r="B18">
        <v>85</v>
      </c>
      <c r="G18">
        <f t="shared" si="1"/>
        <v>4</v>
      </c>
    </row>
    <row r="19" spans="1:7" x14ac:dyDescent="0.35">
      <c r="B19">
        <v>90</v>
      </c>
      <c r="G19">
        <f t="shared" si="1"/>
        <v>6.0000000000000018</v>
      </c>
    </row>
    <row r="20" spans="1:7" x14ac:dyDescent="0.35">
      <c r="B20">
        <v>95</v>
      </c>
      <c r="G20">
        <f t="shared" si="1"/>
        <v>11.999999999999991</v>
      </c>
    </row>
  </sheetData>
  <pageMargins left="0.7" right="0.7" top="0.75" bottom="0.75" header="0.3" footer="0.3"/>
  <headerFooter>
    <oddFooter>&amp;L_x000D_&amp;1#&amp;"Aptos"&amp;10&amp;K000000 
--------------------------------------------------------
This document is marked as confidential</oddFoot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Kerr</dc:creator>
  <cp:lastModifiedBy>Robin Kerr</cp:lastModifiedBy>
  <dcterms:created xsi:type="dcterms:W3CDTF">2026-04-08T17:07:03Z</dcterms:created>
  <dcterms:modified xsi:type="dcterms:W3CDTF">2026-04-08T19:54:47Z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dbb19938-abdf-4bf9-b36f-6fa56c0e1ffb_Enabled">
    <vt:lpwstr>true</vt:lpwstr>
  </property>
  <property fmtid="{D5CDD505-2E9C-101B-9397-08002B2CF9AE}" pid="3" name="MSIP_Label_dbb19938-abdf-4bf9-b36f-6fa56c0e1ffb_SetDate">
    <vt:lpwstr>2026-04-08T19:54:47Z</vt:lpwstr>
  </property>
  <property fmtid="{D5CDD505-2E9C-101B-9397-08002B2CF9AE}" pid="4" name="MSIP_Label_dbb19938-abdf-4bf9-b36f-6fa56c0e1ffb_Method">
    <vt:lpwstr>Standard</vt:lpwstr>
  </property>
  <property fmtid="{D5CDD505-2E9C-101B-9397-08002B2CF9AE}" pid="5" name="MSIP_Label_dbb19938-abdf-4bf9-b36f-6fa56c0e1ffb_Name">
    <vt:lpwstr>dbb19938-abdf-4bf9-b36f-6fa56c0e1ffb</vt:lpwstr>
  </property>
  <property fmtid="{D5CDD505-2E9C-101B-9397-08002B2CF9AE}" pid="6" name="MSIP_Label_dbb19938-abdf-4bf9-b36f-6fa56c0e1ffb_SiteId">
    <vt:lpwstr>532a5fd0-268c-48ff-b181-14740d5d430b</vt:lpwstr>
  </property>
  <property fmtid="{D5CDD505-2E9C-101B-9397-08002B2CF9AE}" pid="7" name="MSIP_Label_dbb19938-abdf-4bf9-b36f-6fa56c0e1ffb_ActionId">
    <vt:lpwstr>2058e841-9493-448a-ac36-3757e8ff8ba5</vt:lpwstr>
  </property>
  <property fmtid="{D5CDD505-2E9C-101B-9397-08002B2CF9AE}" pid="8" name="MSIP_Label_dbb19938-abdf-4bf9-b36f-6fa56c0e1ffb_ContentBits">
    <vt:lpwstr>2</vt:lpwstr>
  </property>
  <property fmtid="{D5CDD505-2E9C-101B-9397-08002B2CF9AE}" pid="9" name="MSIP_Label_dbb19938-abdf-4bf9-b36f-6fa56c0e1ffb_Tag">
    <vt:lpwstr>10, 3, 0, 1</vt:lpwstr>
  </property>
</Properties>
</file>